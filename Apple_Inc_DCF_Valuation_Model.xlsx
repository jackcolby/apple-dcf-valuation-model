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8_{0745A74D-8441-BD42-A37A-FBA3C2622F0C}" xr6:coauthVersionLast="47" xr6:coauthVersionMax="47" xr10:uidLastSave="{00000000-0000-0000-0000-000000000000}"/>
  <bookViews>
    <workbookView xWindow="0" yWindow="740" windowWidth="28400" windowHeight="18380" xr2:uid="{3FECB394-EE32-7845-9456-CAF76F163BA1}"/>
  </bookViews>
  <sheets>
    <sheet name="Assumptions" sheetId="1" r:id="rId1"/>
    <sheet name="Forecasts" sheetId="3" r:id="rId2"/>
    <sheet name="Valuations" sheetId="4" r:id="rId3"/>
    <sheet name="Sensitivity Analysi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D32" i="4"/>
  <c r="D31" i="4"/>
  <c r="C49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D36" i="4"/>
  <c r="C52" i="4" s="1"/>
  <c r="D35" i="4"/>
  <c r="D34" i="4"/>
  <c r="D33" i="4"/>
  <c r="K15" i="3"/>
  <c r="I15" i="3"/>
  <c r="H15" i="3"/>
  <c r="K14" i="3"/>
  <c r="I14" i="3"/>
  <c r="H14" i="3"/>
  <c r="K13" i="3"/>
  <c r="I13" i="3"/>
  <c r="H13" i="3"/>
  <c r="K12" i="3"/>
  <c r="I12" i="3"/>
  <c r="H12" i="3"/>
  <c r="K11" i="3"/>
  <c r="I11" i="3"/>
  <c r="H11" i="3"/>
  <c r="K10" i="3"/>
  <c r="I10" i="3"/>
  <c r="H10" i="3"/>
  <c r="D15" i="3"/>
  <c r="D14" i="3"/>
  <c r="D13" i="3"/>
  <c r="D12" i="3"/>
  <c r="D11" i="3"/>
  <c r="J11" i="3" l="1"/>
  <c r="J12" i="3"/>
  <c r="L12" i="3" s="1"/>
  <c r="J15" i="3"/>
  <c r="L15" i="3" s="1"/>
  <c r="C26" i="4" s="1"/>
  <c r="G26" i="4" s="1"/>
  <c r="C48" i="4" s="1"/>
  <c r="C50" i="4" s="1"/>
  <c r="C51" i="4" s="1"/>
  <c r="C53" i="4" s="1"/>
  <c r="C12" i="4" s="1"/>
  <c r="J14" i="3"/>
  <c r="L14" i="3" s="1"/>
  <c r="C25" i="4" s="1"/>
  <c r="G25" i="4" s="1"/>
  <c r="C35" i="4" s="1"/>
  <c r="E35" i="4" s="1"/>
  <c r="J10" i="3"/>
  <c r="C23" i="4"/>
  <c r="G23" i="4" s="1"/>
  <c r="C33" i="4" s="1"/>
  <c r="E33" i="4" s="1"/>
  <c r="J13" i="3"/>
  <c r="L13" i="3" s="1"/>
  <c r="C24" i="4" s="1"/>
  <c r="G24" i="4" s="1"/>
  <c r="C34" i="4" s="1"/>
  <c r="E34" i="4" s="1"/>
  <c r="L10" i="3" l="1"/>
  <c r="C21" i="4" s="1"/>
  <c r="G21" i="4" s="1"/>
  <c r="C31" i="4" s="1"/>
  <c r="E31" i="4" s="1"/>
  <c r="L11" i="3"/>
  <c r="C22" i="4" s="1"/>
  <c r="G22" i="4" s="1"/>
  <c r="C32" i="4" s="1"/>
  <c r="E32" i="4" s="1"/>
  <c r="C36" i="4"/>
  <c r="E36" i="4" s="1"/>
  <c r="C11" i="4" l="1"/>
  <c r="C13" i="4" s="1"/>
  <c r="C15" i="4" s="1"/>
  <c r="C16" i="4" s="1"/>
</calcChain>
</file>

<file path=xl/sharedStrings.xml><?xml version="1.0" encoding="utf-8"?>
<sst xmlns="http://schemas.openxmlformats.org/spreadsheetml/2006/main" count="119" uniqueCount="73">
  <si>
    <t>2027 Revenye Growth</t>
  </si>
  <si>
    <t>2028 Revenue Growth</t>
  </si>
  <si>
    <t>2029 Revenue Growth</t>
  </si>
  <si>
    <t>2030 Revenue Growth</t>
  </si>
  <si>
    <t>2031 Revenue Growth</t>
  </si>
  <si>
    <t>EBIT Margin</t>
  </si>
  <si>
    <t>Tax Rate</t>
  </si>
  <si>
    <t>WACC</t>
  </si>
  <si>
    <t>Terminal Growth Rate</t>
  </si>
  <si>
    <t>478.29B</t>
  </si>
  <si>
    <t>Analyst Concensus</t>
  </si>
  <si>
    <t>Assumption</t>
  </si>
  <si>
    <t>Historical</t>
  </si>
  <si>
    <t>US Corporate Tax</t>
  </si>
  <si>
    <t>Value</t>
  </si>
  <si>
    <t>Source</t>
  </si>
  <si>
    <t>Revenue Forecast</t>
  </si>
  <si>
    <t>Year</t>
  </si>
  <si>
    <t>Growth</t>
  </si>
  <si>
    <t>2026E</t>
  </si>
  <si>
    <t>2027E</t>
  </si>
  <si>
    <t>2028E</t>
  </si>
  <si>
    <t>2029E</t>
  </si>
  <si>
    <t>2030E</t>
  </si>
  <si>
    <t>2031E</t>
  </si>
  <si>
    <t>Revenue ($B)</t>
  </si>
  <si>
    <t>-</t>
  </si>
  <si>
    <t>Revenue projections beyond FY2026 are based on analyst consensus for FY2026 and assumptions of gradually declining long-term growth to reflect Apple's mature business model.</t>
  </si>
  <si>
    <t>EBIT ($B)</t>
  </si>
  <si>
    <t xml:space="preserve">Tax Rate </t>
  </si>
  <si>
    <t>NOPAT ($B)</t>
  </si>
  <si>
    <t>D&amp;A</t>
  </si>
  <si>
    <t>CapEx</t>
  </si>
  <si>
    <t>ΔNWC</t>
  </si>
  <si>
    <t>Free Cash Flow</t>
  </si>
  <si>
    <t>D&amp;A Percent Revenue</t>
  </si>
  <si>
    <t>CapEx % Revenue</t>
  </si>
  <si>
    <t>ΔNWC % Revenue</t>
  </si>
  <si>
    <t>Free Cash Flow Schedule</t>
  </si>
  <si>
    <t>Discounted Cash Flow valuation</t>
  </si>
  <si>
    <t>Discount Factor</t>
  </si>
  <si>
    <t>Present Value</t>
  </si>
  <si>
    <t>Terminal Value</t>
  </si>
  <si>
    <t>Item</t>
  </si>
  <si>
    <t>2031 Free Cash Flow</t>
  </si>
  <si>
    <t>Terminal Growth</t>
  </si>
  <si>
    <t>2032 FCF</t>
  </si>
  <si>
    <t>Present value of TV</t>
  </si>
  <si>
    <t>DCF Valuation Summary</t>
  </si>
  <si>
    <t xml:space="preserve">Item </t>
  </si>
  <si>
    <t>PV of Forecast FCF</t>
  </si>
  <si>
    <t>Enterprise Value</t>
  </si>
  <si>
    <t>Current Enterprise Value</t>
  </si>
  <si>
    <t>Difference (%)</t>
  </si>
  <si>
    <t>Conclusion</t>
  </si>
  <si>
    <t>PV of Terminal Value</t>
  </si>
  <si>
    <t>Value ($B)</t>
  </si>
  <si>
    <t>Sensitivity inputs</t>
  </si>
  <si>
    <t xml:space="preserve"> Enterprise value ($B) based on varying assumptions for WACC and terminal growth rate. The highlighted cell represents the base-case valuation.</t>
  </si>
  <si>
    <t>DCF Sensitivity analysis</t>
  </si>
  <si>
    <t>Enterprise Value Calculation</t>
  </si>
  <si>
    <t xml:space="preserve">Enterprise Value </t>
  </si>
  <si>
    <t>Apple Inc. Discounted Cash Flow Valuation</t>
  </si>
  <si>
    <t>Enterprise value estimated using a five-year discounted cash flow model with a Gordon Growth terminal value.</t>
  </si>
  <si>
    <t>Apple Inc. (NASDAQ: AAPL) — Enterprise valuation using a five-year DCF model</t>
  </si>
  <si>
    <t>Apple Inc. Revenue &amp; Operating Forecast</t>
  </si>
  <si>
    <t>Five-year operating forecast based on analyst consensus and management assumptions.</t>
  </si>
  <si>
    <t>Projected Operating Income Statement</t>
  </si>
  <si>
    <t>Apple Inc. DCF Assumptions</t>
  </si>
  <si>
    <t>Key assumptions used throughout the discounted cash flow valuation model</t>
  </si>
  <si>
    <t>2026 Revenue ($B)</t>
  </si>
  <si>
    <t>Apple Inc. DCF Sensitivity Analysis</t>
  </si>
  <si>
    <t>Enterprise Value ($B) across WACC and Terminal Growth Rate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</si>
</sst>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5"/>
      <color theme="0"/>
      <name val="Aptos Narrow"/>
      <scheme val="minor"/>
    </font>
    <font>
      <b/>
      <sz val="15"/>
      <color theme="0"/>
      <name val="Aptos Narrow (Body)"/>
    </font>
    <font>
      <sz val="15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2" fontId="0" fillId="0" borderId="0" xfId="0" applyNumberFormat="1"/>
    <xf numFmtId="2" fontId="0" fillId="0" borderId="7" xfId="0" applyNumberFormat="1" applyBorder="1"/>
    <xf numFmtId="0" fontId="0" fillId="0" borderId="5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4" borderId="4" xfId="0" applyFill="1" applyBorder="1"/>
    <xf numFmtId="0" fontId="0" fillId="4" borderId="5" xfId="0" applyFill="1" applyBorder="1"/>
    <xf numFmtId="10" fontId="0" fillId="0" borderId="0" xfId="0" applyNumberFormat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" xfId="0" applyNumberFormat="1" applyBorder="1"/>
    <xf numFmtId="2" fontId="0" fillId="0" borderId="8" xfId="0" applyNumberFormat="1" applyBorder="1"/>
    <xf numFmtId="10" fontId="0" fillId="0" borderId="0" xfId="0" applyNumberFormat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10" fontId="0" fillId="0" borderId="7" xfId="0" applyNumberFormat="1" applyBorder="1" applyAlignment="1">
      <alignment horizontal="center" vertical="top"/>
    </xf>
    <xf numFmtId="0" fontId="0" fillId="0" borderId="8" xfId="0" applyBorder="1" applyAlignment="1">
      <alignment vertical="top"/>
    </xf>
    <xf numFmtId="164" fontId="0" fillId="0" borderId="0" xfId="0" applyNumberFormat="1"/>
    <xf numFmtId="164" fontId="0" fillId="0" borderId="7" xfId="0" applyNumberFormat="1" applyBorder="1"/>
    <xf numFmtId="2" fontId="0" fillId="3" borderId="4" xfId="0" applyNumberFormat="1" applyFill="1" applyBorder="1"/>
    <xf numFmtId="2" fontId="0" fillId="3" borderId="5" xfId="0" applyNumberFormat="1" applyFill="1" applyBorder="1"/>
    <xf numFmtId="2" fontId="0" fillId="0" borderId="4" xfId="0" applyNumberFormat="1" applyBorder="1"/>
    <xf numFmtId="2" fontId="0" fillId="0" borderId="6" xfId="0" applyNumberFormat="1" applyBorder="1"/>
    <xf numFmtId="10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2" fillId="6" borderId="9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3" borderId="6" xfId="0" applyFill="1" applyBorder="1" applyAlignment="1">
      <alignment horizontal="center"/>
    </xf>
    <xf numFmtId="10" fontId="2" fillId="3" borderId="0" xfId="0" applyNumberFormat="1" applyFont="1" applyFill="1" applyAlignment="1">
      <alignment horizontal="center"/>
    </xf>
    <xf numFmtId="0" fontId="2" fillId="0" borderId="6" xfId="0" applyFont="1" applyBorder="1"/>
    <xf numFmtId="0" fontId="2" fillId="0" borderId="4" xfId="0" applyFont="1" applyBorder="1"/>
    <xf numFmtId="2" fontId="2" fillId="0" borderId="5" xfId="0" applyNumberFormat="1" applyFont="1" applyBorder="1"/>
    <xf numFmtId="0" fontId="2" fillId="0" borderId="8" xfId="0" applyFont="1" applyBorder="1"/>
    <xf numFmtId="0" fontId="0" fillId="7" borderId="8" xfId="0" applyFill="1" applyBorder="1"/>
    <xf numFmtId="0" fontId="3" fillId="0" borderId="0" xfId="0" applyFont="1" applyAlignment="1">
      <alignment vertical="center"/>
    </xf>
    <xf numFmtId="0" fontId="2" fillId="3" borderId="5" xfId="0" applyFont="1" applyFill="1" applyBorder="1"/>
    <xf numFmtId="2" fontId="2" fillId="0" borderId="8" xfId="0" applyNumberFormat="1" applyFont="1" applyBorder="1"/>
    <xf numFmtId="2" fontId="2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B3C2-9B6B-5B41-ACB2-FDE139201678}">
  <sheetPr>
    <pageSetUpPr fitToPage="1"/>
  </sheetPr>
  <dimension ref="B2:F25"/>
  <sheetViews>
    <sheetView tabSelected="1" workbookViewId="0">
      <selection activeCell="G15" sqref="G15"/>
    </sheetView>
  </sheetViews>
  <sheetFormatPr baseColWidth="10" defaultRowHeight="16" x14ac:dyDescent="0.2"/>
  <cols>
    <col min="2" max="2" width="19" bestFit="1" customWidth="1"/>
    <col min="3" max="3" width="12" bestFit="1" customWidth="1"/>
    <col min="4" max="4" width="16.5" bestFit="1" customWidth="1"/>
    <col min="8" max="8" width="6.1640625" bestFit="1" customWidth="1"/>
    <col min="9" max="9" width="13.5" bestFit="1" customWidth="1"/>
    <col min="10" max="10" width="14.1640625" bestFit="1" customWidth="1"/>
    <col min="11" max="11" width="12.1640625" bestFit="1" customWidth="1"/>
    <col min="15" max="15" width="18" bestFit="1" customWidth="1"/>
    <col min="19" max="19" width="21.1640625" bestFit="1" customWidth="1"/>
    <col min="20" max="20" width="13.5" bestFit="1" customWidth="1"/>
  </cols>
  <sheetData>
    <row r="2" spans="2:6" x14ac:dyDescent="0.2">
      <c r="B2" s="53" t="s">
        <v>68</v>
      </c>
      <c r="C2" s="53"/>
      <c r="D2" s="53"/>
      <c r="E2" s="53"/>
    </row>
    <row r="3" spans="2:6" x14ac:dyDescent="0.2">
      <c r="B3" s="53"/>
      <c r="C3" s="53"/>
      <c r="D3" s="53"/>
      <c r="E3" s="53"/>
    </row>
    <row r="4" spans="2:6" x14ac:dyDescent="0.2">
      <c r="B4" s="53"/>
      <c r="C4" s="53"/>
      <c r="D4" s="53"/>
      <c r="E4" s="53"/>
    </row>
    <row r="5" spans="2:6" x14ac:dyDescent="0.2">
      <c r="B5" s="54" t="s">
        <v>69</v>
      </c>
      <c r="C5" s="54"/>
      <c r="D5" s="54"/>
      <c r="E5" s="54"/>
    </row>
    <row r="6" spans="2:6" x14ac:dyDescent="0.2">
      <c r="B6" s="54"/>
      <c r="C6" s="54"/>
      <c r="D6" s="54"/>
      <c r="E6" s="54"/>
    </row>
    <row r="8" spans="2:6" x14ac:dyDescent="0.2">
      <c r="B8" s="1" t="s">
        <v>11</v>
      </c>
      <c r="C8" s="2" t="s">
        <v>14</v>
      </c>
      <c r="D8" s="3" t="s">
        <v>15</v>
      </c>
    </row>
    <row r="9" spans="2:6" x14ac:dyDescent="0.2">
      <c r="B9" s="4" t="s">
        <v>70</v>
      </c>
      <c r="C9" s="7" t="s">
        <v>9</v>
      </c>
      <c r="D9" s="5" t="s">
        <v>10</v>
      </c>
    </row>
    <row r="10" spans="2:6" x14ac:dyDescent="0.2">
      <c r="B10" s="4" t="s">
        <v>0</v>
      </c>
      <c r="C10" s="18">
        <v>5.67E-2</v>
      </c>
      <c r="D10" s="5" t="s">
        <v>11</v>
      </c>
    </row>
    <row r="11" spans="2:6" x14ac:dyDescent="0.2">
      <c r="B11" s="4" t="s">
        <v>1</v>
      </c>
      <c r="C11" s="18">
        <v>5.5E-2</v>
      </c>
      <c r="D11" s="5" t="s">
        <v>11</v>
      </c>
    </row>
    <row r="12" spans="2:6" x14ac:dyDescent="0.2">
      <c r="B12" s="4" t="s">
        <v>2</v>
      </c>
      <c r="C12" s="18">
        <v>5.2999999999999999E-2</v>
      </c>
      <c r="D12" s="5" t="s">
        <v>11</v>
      </c>
    </row>
    <row r="13" spans="2:6" x14ac:dyDescent="0.2">
      <c r="B13" s="4" t="s">
        <v>3</v>
      </c>
      <c r="C13" s="18">
        <v>5.0999999999999997E-2</v>
      </c>
      <c r="D13" s="5" t="s">
        <v>11</v>
      </c>
    </row>
    <row r="14" spans="2:6" ht="16" customHeight="1" x14ac:dyDescent="0.2">
      <c r="B14" s="4" t="s">
        <v>4</v>
      </c>
      <c r="C14" s="18">
        <v>4.9500000000000002E-2</v>
      </c>
      <c r="D14" s="5" t="s">
        <v>11</v>
      </c>
      <c r="E14" s="15"/>
      <c r="F14" s="15"/>
    </row>
    <row r="15" spans="2:6" x14ac:dyDescent="0.2">
      <c r="B15" s="4" t="s">
        <v>5</v>
      </c>
      <c r="C15" s="18">
        <v>0.32640000000000002</v>
      </c>
      <c r="D15" s="5" t="s">
        <v>12</v>
      </c>
      <c r="E15" s="15"/>
      <c r="F15" s="15"/>
    </row>
    <row r="16" spans="2:6" x14ac:dyDescent="0.2">
      <c r="B16" s="4" t="s">
        <v>6</v>
      </c>
      <c r="C16" s="18">
        <v>0.21</v>
      </c>
      <c r="D16" s="5" t="s">
        <v>13</v>
      </c>
      <c r="E16" s="15"/>
      <c r="F16" s="15"/>
    </row>
    <row r="17" spans="2:4" x14ac:dyDescent="0.2">
      <c r="B17" s="4" t="s">
        <v>7</v>
      </c>
      <c r="C17" s="22">
        <v>0.08</v>
      </c>
      <c r="D17" s="5" t="s">
        <v>11</v>
      </c>
    </row>
    <row r="18" spans="2:4" x14ac:dyDescent="0.2">
      <c r="B18" s="4" t="s">
        <v>8</v>
      </c>
      <c r="C18" s="18">
        <v>2.5000000000000001E-2</v>
      </c>
      <c r="D18" s="5" t="s">
        <v>11</v>
      </c>
    </row>
    <row r="19" spans="2:4" x14ac:dyDescent="0.2">
      <c r="B19" s="4" t="s">
        <v>35</v>
      </c>
      <c r="C19" s="18">
        <v>2.5999999999999999E-2</v>
      </c>
      <c r="D19" s="5" t="s">
        <v>11</v>
      </c>
    </row>
    <row r="20" spans="2:4" x14ac:dyDescent="0.2">
      <c r="B20" s="26" t="s">
        <v>36</v>
      </c>
      <c r="C20" s="25">
        <v>2.8000000000000001E-2</v>
      </c>
      <c r="D20" s="27" t="s">
        <v>11</v>
      </c>
    </row>
    <row r="21" spans="2:4" x14ac:dyDescent="0.2">
      <c r="B21" s="28" t="s">
        <v>37</v>
      </c>
      <c r="C21" s="29">
        <v>5.0000000000000001E-3</v>
      </c>
      <c r="D21" s="30" t="s">
        <v>11</v>
      </c>
    </row>
    <row r="22" spans="2:4" x14ac:dyDescent="0.2">
      <c r="B22" s="55" t="s">
        <v>27</v>
      </c>
      <c r="C22" s="55"/>
      <c r="D22" s="55"/>
    </row>
    <row r="23" spans="2:4" x14ac:dyDescent="0.2">
      <c r="B23" s="55"/>
      <c r="C23" s="55"/>
      <c r="D23" s="55"/>
    </row>
    <row r="24" spans="2:4" x14ac:dyDescent="0.2">
      <c r="B24" s="55"/>
      <c r="C24" s="55"/>
      <c r="D24" s="55"/>
    </row>
    <row r="25" spans="2:4" x14ac:dyDescent="0.2">
      <c r="B25" s="55"/>
      <c r="C25" s="55"/>
      <c r="D25" s="55"/>
    </row>
  </sheetData>
  <mergeCells count="3">
    <mergeCell ref="B2:E4"/>
    <mergeCell ref="B5:E6"/>
    <mergeCell ref="B22:D25"/>
  </mergeCells>
  <printOptions horizontalCentered="1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0A8D-8682-0449-900C-1C637E51A61A}">
  <dimension ref="B2:L15"/>
  <sheetViews>
    <sheetView workbookViewId="0">
      <selection activeCell="L18" sqref="L18"/>
    </sheetView>
  </sheetViews>
  <sheetFormatPr baseColWidth="10" defaultRowHeight="16" x14ac:dyDescent="0.2"/>
  <sheetData>
    <row r="2" spans="2:12" ht="20" customHeight="1" x14ac:dyDescent="0.2">
      <c r="D2" s="59" t="s">
        <v>65</v>
      </c>
      <c r="E2" s="59"/>
      <c r="F2" s="59"/>
      <c r="G2" s="59"/>
      <c r="H2" s="59"/>
    </row>
    <row r="3" spans="2:12" ht="20" customHeight="1" x14ac:dyDescent="0.2">
      <c r="D3" s="59"/>
      <c r="E3" s="59"/>
      <c r="F3" s="59"/>
      <c r="G3" s="59"/>
      <c r="H3" s="59"/>
    </row>
    <row r="4" spans="2:12" ht="16" customHeight="1" x14ac:dyDescent="0.2">
      <c r="D4" s="59"/>
      <c r="E4" s="59"/>
      <c r="F4" s="59"/>
      <c r="G4" s="59"/>
      <c r="H4" s="59"/>
    </row>
    <row r="5" spans="2:12" x14ac:dyDescent="0.2">
      <c r="D5" s="60" t="s">
        <v>66</v>
      </c>
      <c r="E5" s="60"/>
      <c r="F5" s="60"/>
      <c r="G5" s="60"/>
      <c r="H5" s="60"/>
    </row>
    <row r="6" spans="2:12" x14ac:dyDescent="0.2">
      <c r="D6" s="60"/>
      <c r="E6" s="60"/>
      <c r="F6" s="60"/>
      <c r="G6" s="60"/>
      <c r="H6" s="60"/>
    </row>
    <row r="8" spans="2:12" x14ac:dyDescent="0.2">
      <c r="B8" s="56" t="s">
        <v>16</v>
      </c>
      <c r="C8" s="57"/>
      <c r="D8" s="58"/>
      <c r="G8" s="56" t="s">
        <v>67</v>
      </c>
      <c r="H8" s="57"/>
      <c r="I8" s="57"/>
      <c r="J8" s="57"/>
      <c r="K8" s="57"/>
      <c r="L8" s="58"/>
    </row>
    <row r="9" spans="2:12" x14ac:dyDescent="0.2">
      <c r="B9" s="8" t="s">
        <v>17</v>
      </c>
      <c r="C9" s="9" t="s">
        <v>25</v>
      </c>
      <c r="D9" s="10" t="s">
        <v>18</v>
      </c>
      <c r="G9" s="8" t="s">
        <v>17</v>
      </c>
      <c r="H9" s="9" t="s">
        <v>25</v>
      </c>
      <c r="I9" s="9" t="s">
        <v>5</v>
      </c>
      <c r="J9" s="9" t="s">
        <v>28</v>
      </c>
      <c r="K9" s="9" t="s">
        <v>29</v>
      </c>
      <c r="L9" s="50" t="s">
        <v>30</v>
      </c>
    </row>
    <row r="10" spans="2:12" x14ac:dyDescent="0.2">
      <c r="B10" s="4" t="s">
        <v>19</v>
      </c>
      <c r="C10">
        <v>478.29</v>
      </c>
      <c r="D10" s="13" t="s">
        <v>26</v>
      </c>
      <c r="G10" s="4" t="s">
        <v>19</v>
      </c>
      <c r="H10">
        <f>Forecasts!C10</f>
        <v>478.29</v>
      </c>
      <c r="I10" s="18">
        <f>Assumptions!$C$15</f>
        <v>0.32640000000000002</v>
      </c>
      <c r="J10" s="11">
        <f t="shared" ref="J10:J15" si="0">H10*I10</f>
        <v>156.11385600000003</v>
      </c>
      <c r="K10" s="18">
        <f>Assumptions!$C$16</f>
        <v>0.21</v>
      </c>
      <c r="L10" s="46">
        <f>J10*(1-Assumptions!$C$16)</f>
        <v>123.32994624000003</v>
      </c>
    </row>
    <row r="11" spans="2:12" x14ac:dyDescent="0.2">
      <c r="B11" s="4" t="s">
        <v>20</v>
      </c>
      <c r="C11" s="11">
        <v>505.4</v>
      </c>
      <c r="D11" s="20">
        <f>Assumptions!C10</f>
        <v>5.67E-2</v>
      </c>
      <c r="G11" s="4" t="s">
        <v>20</v>
      </c>
      <c r="H11" s="11">
        <f>Forecasts!C11</f>
        <v>505.4</v>
      </c>
      <c r="I11" s="18">
        <f>Assumptions!$C$15</f>
        <v>0.32640000000000002</v>
      </c>
      <c r="J11" s="11">
        <f t="shared" si="0"/>
        <v>164.96256</v>
      </c>
      <c r="K11" s="18">
        <f>Assumptions!$C$16</f>
        <v>0.21</v>
      </c>
      <c r="L11" s="46">
        <f>J11*(1-Assumptions!$C$16)</f>
        <v>130.32042240000001</v>
      </c>
    </row>
    <row r="12" spans="2:12" x14ac:dyDescent="0.2">
      <c r="B12" s="4" t="s">
        <v>21</v>
      </c>
      <c r="C12" s="11">
        <v>533.197</v>
      </c>
      <c r="D12" s="20">
        <f>Assumptions!C11</f>
        <v>5.5E-2</v>
      </c>
      <c r="G12" s="4" t="s">
        <v>21</v>
      </c>
      <c r="H12" s="11">
        <f>Forecasts!C12</f>
        <v>533.197</v>
      </c>
      <c r="I12" s="18">
        <f>Assumptions!$C$15</f>
        <v>0.32640000000000002</v>
      </c>
      <c r="J12" s="11">
        <f t="shared" si="0"/>
        <v>174.03550080000002</v>
      </c>
      <c r="K12" s="18">
        <f>Assumptions!$C$16</f>
        <v>0.21</v>
      </c>
      <c r="L12" s="46">
        <f>J12*(1-Assumptions!$C$16)</f>
        <v>137.48804563200002</v>
      </c>
    </row>
    <row r="13" spans="2:12" x14ac:dyDescent="0.2">
      <c r="B13" s="4" t="s">
        <v>22</v>
      </c>
      <c r="C13" s="11">
        <v>561.45960000000002</v>
      </c>
      <c r="D13" s="20">
        <f>Assumptions!C12</f>
        <v>5.2999999999999999E-2</v>
      </c>
      <c r="G13" s="4" t="s">
        <v>22</v>
      </c>
      <c r="H13" s="11">
        <f>Forecasts!C13</f>
        <v>561.45960000000002</v>
      </c>
      <c r="I13" s="18">
        <f>Assumptions!$C$15</f>
        <v>0.32640000000000002</v>
      </c>
      <c r="J13" s="11">
        <f t="shared" si="0"/>
        <v>183.26041344000001</v>
      </c>
      <c r="K13" s="18">
        <f>Assumptions!$C$16</f>
        <v>0.21</v>
      </c>
      <c r="L13" s="46">
        <f>J13*(1-Assumptions!$C$16)</f>
        <v>144.77572661760001</v>
      </c>
    </row>
    <row r="14" spans="2:12" x14ac:dyDescent="0.2">
      <c r="B14" s="4" t="s">
        <v>23</v>
      </c>
      <c r="C14" s="11">
        <v>590.09446000000003</v>
      </c>
      <c r="D14" s="20">
        <f>Assumptions!C13</f>
        <v>5.0999999999999997E-2</v>
      </c>
      <c r="G14" s="4" t="s">
        <v>23</v>
      </c>
      <c r="H14" s="11">
        <f>Forecasts!C14</f>
        <v>590.09446000000003</v>
      </c>
      <c r="I14" s="18">
        <f>Assumptions!$C$15</f>
        <v>0.32640000000000002</v>
      </c>
      <c r="J14" s="11">
        <f t="shared" si="0"/>
        <v>192.60683174400003</v>
      </c>
      <c r="K14" s="18">
        <f>Assumptions!$C$16</f>
        <v>0.21</v>
      </c>
      <c r="L14" s="46">
        <f>J14*(1-Assumptions!$C$16)</f>
        <v>152.15939707776002</v>
      </c>
    </row>
    <row r="15" spans="2:12" x14ac:dyDescent="0.2">
      <c r="B15" s="6" t="s">
        <v>24</v>
      </c>
      <c r="C15" s="12">
        <v>619.29967580000005</v>
      </c>
      <c r="D15" s="21">
        <f>Assumptions!C14</f>
        <v>4.9500000000000002E-2</v>
      </c>
      <c r="G15" s="6" t="s">
        <v>24</v>
      </c>
      <c r="H15" s="12">
        <f>Forecasts!C15</f>
        <v>619.29967580000005</v>
      </c>
      <c r="I15" s="19">
        <f>Assumptions!$C$15</f>
        <v>0.32640000000000002</v>
      </c>
      <c r="J15" s="12">
        <f t="shared" si="0"/>
        <v>202.13941418112003</v>
      </c>
      <c r="K15" s="19">
        <f>Assumptions!$C$16</f>
        <v>0.21</v>
      </c>
      <c r="L15" s="51">
        <f>J15*(1-Assumptions!$C$16)</f>
        <v>159.69013720308484</v>
      </c>
    </row>
  </sheetData>
  <mergeCells count="4">
    <mergeCell ref="B8:D8"/>
    <mergeCell ref="G8:L8"/>
    <mergeCell ref="D2:H4"/>
    <mergeCell ref="D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6CD9-CBD6-5B45-843F-40944706AE3F}">
  <dimension ref="B2:G53"/>
  <sheetViews>
    <sheetView topLeftCell="A16" zoomScale="88" workbookViewId="0">
      <selection activeCell="G22" sqref="G22"/>
    </sheetView>
  </sheetViews>
  <sheetFormatPr baseColWidth="10" defaultRowHeight="16" x14ac:dyDescent="0.2"/>
  <cols>
    <col min="2" max="2" width="21.1640625" bestFit="1" customWidth="1"/>
    <col min="3" max="3" width="13.5" bestFit="1" customWidth="1"/>
    <col min="4" max="4" width="14.1640625" bestFit="1" customWidth="1"/>
    <col min="5" max="5" width="12.1640625" bestFit="1" customWidth="1"/>
    <col min="6" max="6" width="6.5" bestFit="1" customWidth="1"/>
    <col min="7" max="7" width="13.5" bestFit="1" customWidth="1"/>
    <col min="8" max="8" width="6.1640625" bestFit="1" customWidth="1"/>
    <col min="9" max="9" width="10.5" bestFit="1" customWidth="1"/>
    <col min="10" max="10" width="5.6640625" bestFit="1" customWidth="1"/>
    <col min="11" max="11" width="6.33203125" bestFit="1" customWidth="1"/>
    <col min="12" max="12" width="6.5" bestFit="1" customWidth="1"/>
    <col min="13" max="13" width="13.5" bestFit="1" customWidth="1"/>
    <col min="16" max="16" width="18" bestFit="1" customWidth="1"/>
    <col min="17" max="17" width="7.6640625" bestFit="1" customWidth="1"/>
    <col min="20" max="20" width="21.1640625" bestFit="1" customWidth="1"/>
    <col min="21" max="21" width="10.33203125" bestFit="1" customWidth="1"/>
  </cols>
  <sheetData>
    <row r="2" spans="2:7" ht="16" customHeight="1" x14ac:dyDescent="0.2">
      <c r="B2" s="61" t="s">
        <v>62</v>
      </c>
      <c r="C2" s="62"/>
      <c r="D2" s="62"/>
      <c r="E2" s="62"/>
      <c r="F2" s="49"/>
      <c r="G2" s="49"/>
    </row>
    <row r="3" spans="2:7" ht="16" customHeight="1" x14ac:dyDescent="0.2">
      <c r="B3" s="62"/>
      <c r="C3" s="62"/>
      <c r="D3" s="62"/>
      <c r="E3" s="62"/>
      <c r="F3" s="49"/>
      <c r="G3" s="49"/>
    </row>
    <row r="4" spans="2:7" ht="16" customHeight="1" x14ac:dyDescent="0.2">
      <c r="B4" s="62"/>
      <c r="C4" s="62"/>
      <c r="D4" s="62"/>
      <c r="E4" s="62"/>
      <c r="F4" s="49"/>
      <c r="G4" s="49"/>
    </row>
    <row r="5" spans="2:7" ht="16" customHeight="1" x14ac:dyDescent="0.2">
      <c r="B5" s="55" t="s">
        <v>63</v>
      </c>
      <c r="C5" s="55"/>
      <c r="D5" s="55"/>
      <c r="E5" s="55"/>
      <c r="F5" s="14"/>
      <c r="G5" s="14"/>
    </row>
    <row r="6" spans="2:7" x14ac:dyDescent="0.2">
      <c r="B6" s="55"/>
      <c r="C6" s="55"/>
      <c r="D6" s="55"/>
      <c r="E6" s="55"/>
      <c r="F6" s="14"/>
      <c r="G6" s="14"/>
    </row>
    <row r="7" spans="2:7" x14ac:dyDescent="0.2">
      <c r="B7" s="63" t="s">
        <v>64</v>
      </c>
      <c r="C7" s="63"/>
      <c r="D7" s="63"/>
      <c r="E7" s="63"/>
    </row>
    <row r="9" spans="2:7" x14ac:dyDescent="0.2">
      <c r="B9" s="66" t="s">
        <v>48</v>
      </c>
      <c r="C9" s="67"/>
    </row>
    <row r="10" spans="2:7" x14ac:dyDescent="0.2">
      <c r="B10" s="8" t="s">
        <v>49</v>
      </c>
      <c r="C10" s="10" t="s">
        <v>56</v>
      </c>
    </row>
    <row r="11" spans="2:7" x14ac:dyDescent="0.2">
      <c r="B11" s="4" t="s">
        <v>50</v>
      </c>
      <c r="C11" s="23">
        <f>SUM(Valuations!E31:E36)</f>
        <v>628.14114301968357</v>
      </c>
    </row>
    <row r="12" spans="2:7" x14ac:dyDescent="0.2">
      <c r="B12" s="4" t="s">
        <v>55</v>
      </c>
      <c r="C12" s="23">
        <f>Valuations!C53</f>
        <v>1824.5005080046435</v>
      </c>
    </row>
    <row r="13" spans="2:7" x14ac:dyDescent="0.2">
      <c r="B13" s="45" t="s">
        <v>51</v>
      </c>
      <c r="C13" s="46">
        <f>C11+C12</f>
        <v>2452.6416510243271</v>
      </c>
    </row>
    <row r="14" spans="2:7" x14ac:dyDescent="0.2">
      <c r="B14" s="4" t="s">
        <v>52</v>
      </c>
      <c r="C14" s="23">
        <v>4300</v>
      </c>
    </row>
    <row r="15" spans="2:7" x14ac:dyDescent="0.2">
      <c r="B15" s="4" t="s">
        <v>53</v>
      </c>
      <c r="C15" s="23">
        <f>(C13-C14)/C14%</f>
        <v>-42.961822069201695</v>
      </c>
    </row>
    <row r="16" spans="2:7" x14ac:dyDescent="0.2">
      <c r="B16" s="6" t="s">
        <v>54</v>
      </c>
      <c r="C16" s="48" t="str">
        <f>IF(C15&lt;0,"Overvalued","Undervalued")</f>
        <v>Overvalued</v>
      </c>
    </row>
    <row r="19" spans="2:7" x14ac:dyDescent="0.2">
      <c r="B19" s="56" t="s">
        <v>38</v>
      </c>
      <c r="C19" s="57"/>
      <c r="D19" s="57"/>
      <c r="E19" s="57"/>
      <c r="F19" s="57"/>
      <c r="G19" s="58"/>
    </row>
    <row r="20" spans="2:7" x14ac:dyDescent="0.2">
      <c r="B20" s="8" t="s">
        <v>17</v>
      </c>
      <c r="C20" s="9" t="s">
        <v>30</v>
      </c>
      <c r="D20" s="9" t="s">
        <v>31</v>
      </c>
      <c r="E20" s="9" t="s">
        <v>32</v>
      </c>
      <c r="F20" s="9" t="s">
        <v>33</v>
      </c>
      <c r="G20" s="10" t="s">
        <v>34</v>
      </c>
    </row>
    <row r="21" spans="2:7" x14ac:dyDescent="0.2">
      <c r="B21" s="4" t="s">
        <v>19</v>
      </c>
      <c r="C21" s="11">
        <f>Forecasts!L10</f>
        <v>123.32994624000003</v>
      </c>
      <c r="D21" s="11">
        <f>Forecasts!C10*Assumptions!C19</f>
        <v>12.43554</v>
      </c>
      <c r="E21" s="11">
        <f>Forecasts!C10*Assumptions!C20</f>
        <v>13.39212</v>
      </c>
      <c r="F21" s="11">
        <f>Forecasts!C10*Assumptions!C21</f>
        <v>2.3914500000000003</v>
      </c>
      <c r="G21" s="23">
        <f t="shared" ref="G21:G26" si="0">C21+D21-E21-F21</f>
        <v>119.98191624000002</v>
      </c>
    </row>
    <row r="22" spans="2:7" x14ac:dyDescent="0.2">
      <c r="B22" s="4" t="s">
        <v>20</v>
      </c>
      <c r="C22" s="11">
        <f>Forecasts!L11</f>
        <v>130.32042240000001</v>
      </c>
      <c r="D22" s="11">
        <f>Forecasts!C11*Assumptions!C19</f>
        <v>13.1404</v>
      </c>
      <c r="E22" s="11">
        <f>Forecasts!C11*Assumptions!C20</f>
        <v>14.151199999999999</v>
      </c>
      <c r="F22" s="11">
        <f>Forecasts!C11*Assumptions!C21</f>
        <v>2.5270000000000001</v>
      </c>
      <c r="G22" s="23">
        <f t="shared" si="0"/>
        <v>126.78262240000002</v>
      </c>
    </row>
    <row r="23" spans="2:7" x14ac:dyDescent="0.2">
      <c r="B23" s="4" t="s">
        <v>21</v>
      </c>
      <c r="C23" s="11">
        <f>Forecasts!L12</f>
        <v>137.48804563200002</v>
      </c>
      <c r="D23" s="11">
        <f>Forecasts!C12*Assumptions!C19</f>
        <v>13.863121999999999</v>
      </c>
      <c r="E23" s="11">
        <f>Forecasts!C12*Assumptions!C20</f>
        <v>14.929516</v>
      </c>
      <c r="F23" s="11">
        <f>Forecasts!C12*Assumptions!C21</f>
        <v>2.665985</v>
      </c>
      <c r="G23" s="23">
        <f t="shared" si="0"/>
        <v>133.75566663200001</v>
      </c>
    </row>
    <row r="24" spans="2:7" x14ac:dyDescent="0.2">
      <c r="B24" s="4" t="s">
        <v>22</v>
      </c>
      <c r="C24" s="11">
        <f>Forecasts!L13</f>
        <v>144.77572661760001</v>
      </c>
      <c r="D24" s="11">
        <f>Forecasts!C13*Assumptions!C19</f>
        <v>14.5979496</v>
      </c>
      <c r="E24" s="11">
        <f>Forecasts!C13*Assumptions!C20</f>
        <v>15.720868800000002</v>
      </c>
      <c r="F24" s="11">
        <f>Forecasts!C13*Assumptions!C21</f>
        <v>2.8072980000000003</v>
      </c>
      <c r="G24" s="23">
        <f t="shared" si="0"/>
        <v>140.8455094176</v>
      </c>
    </row>
    <row r="25" spans="2:7" x14ac:dyDescent="0.2">
      <c r="B25" s="4" t="s">
        <v>23</v>
      </c>
      <c r="C25" s="11">
        <f>Forecasts!L14</f>
        <v>152.15939707776002</v>
      </c>
      <c r="D25" s="11">
        <f>Forecasts!C14*Assumptions!C19</f>
        <v>15.342455960000001</v>
      </c>
      <c r="E25" s="11">
        <f>Forecasts!C14*Assumptions!C20</f>
        <v>16.522644880000001</v>
      </c>
      <c r="F25" s="11">
        <f>Forecasts!C14*Assumptions!C21</f>
        <v>2.9504723000000004</v>
      </c>
      <c r="G25" s="23">
        <f t="shared" si="0"/>
        <v>148.02873585776001</v>
      </c>
    </row>
    <row r="26" spans="2:7" x14ac:dyDescent="0.2">
      <c r="B26" s="6" t="s">
        <v>24</v>
      </c>
      <c r="C26" s="12">
        <f>Forecasts!L15</f>
        <v>159.69013720308484</v>
      </c>
      <c r="D26" s="12">
        <f>Forecasts!C15*Assumptions!C19</f>
        <v>16.1017915708</v>
      </c>
      <c r="E26" s="12">
        <f>Forecasts!C15*Assumptions!C20</f>
        <v>17.340390922400001</v>
      </c>
      <c r="F26" s="12">
        <f>Forecasts!C15*Assumptions!C21</f>
        <v>3.0964983790000002</v>
      </c>
      <c r="G26" s="24">
        <f t="shared" si="0"/>
        <v>155.35503947248486</v>
      </c>
    </row>
    <row r="29" spans="2:7" x14ac:dyDescent="0.2">
      <c r="B29" s="56" t="s">
        <v>39</v>
      </c>
      <c r="C29" s="57"/>
      <c r="D29" s="57"/>
      <c r="E29" s="58"/>
    </row>
    <row r="30" spans="2:7" x14ac:dyDescent="0.2">
      <c r="B30" s="8" t="s">
        <v>17</v>
      </c>
      <c r="C30" s="9" t="s">
        <v>34</v>
      </c>
      <c r="D30" s="9" t="s">
        <v>40</v>
      </c>
      <c r="E30" s="10" t="s">
        <v>41</v>
      </c>
    </row>
    <row r="31" spans="2:7" x14ac:dyDescent="0.2">
      <c r="B31" s="4" t="s">
        <v>19</v>
      </c>
      <c r="C31" s="11">
        <f>Valuations!G21</f>
        <v>119.98191624000002</v>
      </c>
      <c r="D31" s="31">
        <f>1/(1+Assumptions!$C$17)^1</f>
        <v>0.92592592592592582</v>
      </c>
      <c r="E31" s="23">
        <f t="shared" ref="E31:E36" si="1">C31*D31</f>
        <v>111.0943668888889</v>
      </c>
    </row>
    <row r="32" spans="2:7" x14ac:dyDescent="0.2">
      <c r="B32" s="4" t="s">
        <v>20</v>
      </c>
      <c r="C32" s="11">
        <f>Valuations!G22</f>
        <v>126.78262240000002</v>
      </c>
      <c r="D32" s="31">
        <f>1/(1+Assumptions!$C$17)^2</f>
        <v>0.85733882030178321</v>
      </c>
      <c r="E32" s="23">
        <f t="shared" si="1"/>
        <v>108.69566392318245</v>
      </c>
    </row>
    <row r="33" spans="2:5" x14ac:dyDescent="0.2">
      <c r="B33" s="4" t="s">
        <v>21</v>
      </c>
      <c r="C33" s="11">
        <f>Valuations!G23</f>
        <v>133.75566663200001</v>
      </c>
      <c r="D33" s="31">
        <f>1/(1+Assumptions!$C$17)^3</f>
        <v>0.79383224102016958</v>
      </c>
      <c r="E33" s="23">
        <f t="shared" si="1"/>
        <v>106.17956059162729</v>
      </c>
    </row>
    <row r="34" spans="2:5" x14ac:dyDescent="0.2">
      <c r="B34" s="4" t="s">
        <v>22</v>
      </c>
      <c r="C34" s="11">
        <f>Valuations!G24</f>
        <v>140.8455094176</v>
      </c>
      <c r="D34" s="31">
        <f>1/(1+Assumptions!$C$17)^4</f>
        <v>0.73502985279645328</v>
      </c>
      <c r="E34" s="23">
        <f t="shared" si="1"/>
        <v>103.52565405426</v>
      </c>
    </row>
    <row r="35" spans="2:5" x14ac:dyDescent="0.2">
      <c r="B35" s="4" t="s">
        <v>23</v>
      </c>
      <c r="C35" s="11">
        <f>Valuations!G25</f>
        <v>148.02873585776001</v>
      </c>
      <c r="D35" s="31">
        <f>1/(1+Assumptions!$C$17)^5</f>
        <v>0.68058319703375303</v>
      </c>
      <c r="E35" s="23">
        <f t="shared" si="1"/>
        <v>100.74587030293927</v>
      </c>
    </row>
    <row r="36" spans="2:5" x14ac:dyDescent="0.2">
      <c r="B36" s="6" t="s">
        <v>24</v>
      </c>
      <c r="C36" s="12">
        <f>Valuations!G26</f>
        <v>155.35503947248486</v>
      </c>
      <c r="D36" s="32">
        <f>1/(1+Assumptions!$C$17)^6</f>
        <v>0.63016962688310452</v>
      </c>
      <c r="E36" s="24">
        <f t="shared" si="1"/>
        <v>97.900027258785755</v>
      </c>
    </row>
    <row r="39" spans="2:5" x14ac:dyDescent="0.2">
      <c r="B39" s="56" t="s">
        <v>60</v>
      </c>
      <c r="C39" s="58"/>
    </row>
    <row r="40" spans="2:5" x14ac:dyDescent="0.2">
      <c r="B40" s="16" t="s">
        <v>43</v>
      </c>
      <c r="C40" s="17" t="s">
        <v>56</v>
      </c>
    </row>
    <row r="41" spans="2:5" x14ac:dyDescent="0.2">
      <c r="B41" s="4" t="s">
        <v>50</v>
      </c>
      <c r="C41" s="5">
        <v>628.14</v>
      </c>
    </row>
    <row r="42" spans="2:5" x14ac:dyDescent="0.2">
      <c r="B42" s="4" t="s">
        <v>55</v>
      </c>
      <c r="C42" s="5">
        <v>1824.5</v>
      </c>
    </row>
    <row r="43" spans="2:5" x14ac:dyDescent="0.2">
      <c r="B43" s="44" t="s">
        <v>61</v>
      </c>
      <c r="C43" s="47">
        <v>2452.64</v>
      </c>
    </row>
    <row r="46" spans="2:5" x14ac:dyDescent="0.2">
      <c r="B46" s="64" t="s">
        <v>42</v>
      </c>
      <c r="C46" s="65"/>
    </row>
    <row r="47" spans="2:5" x14ac:dyDescent="0.2">
      <c r="B47" s="33" t="s">
        <v>43</v>
      </c>
      <c r="C47" s="34" t="s">
        <v>14</v>
      </c>
    </row>
    <row r="48" spans="2:5" x14ac:dyDescent="0.2">
      <c r="B48" s="35" t="s">
        <v>44</v>
      </c>
      <c r="C48" s="23">
        <f>Valuations!G26</f>
        <v>155.35503947248486</v>
      </c>
    </row>
    <row r="49" spans="2:3" x14ac:dyDescent="0.2">
      <c r="B49" s="35" t="s">
        <v>45</v>
      </c>
      <c r="C49" s="23">
        <f>Assumptions!$C$18</f>
        <v>2.5000000000000001E-2</v>
      </c>
    </row>
    <row r="50" spans="2:3" x14ac:dyDescent="0.2">
      <c r="B50" s="35" t="s">
        <v>46</v>
      </c>
      <c r="C50" s="23">
        <f>C48*(1+Assumptions!$C$18)</f>
        <v>159.23891545929698</v>
      </c>
    </row>
    <row r="51" spans="2:3" x14ac:dyDescent="0.2">
      <c r="B51" s="35" t="s">
        <v>42</v>
      </c>
      <c r="C51" s="23">
        <f>C50/(Assumptions!$C$17-Assumptions!$C$18)</f>
        <v>2895.2530083508541</v>
      </c>
    </row>
    <row r="52" spans="2:3" x14ac:dyDescent="0.2">
      <c r="B52" s="35" t="s">
        <v>40</v>
      </c>
      <c r="C52" s="23">
        <f>Valuations!D36</f>
        <v>0.63016962688310452</v>
      </c>
    </row>
    <row r="53" spans="2:3" x14ac:dyDescent="0.2">
      <c r="B53" s="36" t="s">
        <v>47</v>
      </c>
      <c r="C53" s="24">
        <f>C51*C52</f>
        <v>1824.5005080046435</v>
      </c>
    </row>
  </sheetData>
  <mergeCells count="8">
    <mergeCell ref="B46:C46"/>
    <mergeCell ref="B9:C9"/>
    <mergeCell ref="B39:C39"/>
    <mergeCell ref="B2:E4"/>
    <mergeCell ref="B5:E6"/>
    <mergeCell ref="B7:E7"/>
    <mergeCell ref="B29:E29"/>
    <mergeCell ref="B19:G19"/>
  </mergeCells>
  <conditionalFormatting sqref="C1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3915-D358-2E40-BB87-2CF13EAAAC85}">
  <dimension ref="B2:K19"/>
  <sheetViews>
    <sheetView workbookViewId="0">
      <selection activeCell="P18" sqref="P18"/>
    </sheetView>
  </sheetViews>
  <sheetFormatPr baseColWidth="10" defaultRowHeight="16" x14ac:dyDescent="0.2"/>
  <cols>
    <col min="1" max="2" width="6.5" bestFit="1" customWidth="1"/>
    <col min="3" max="3" width="7.6640625" bestFit="1" customWidth="1"/>
    <col min="4" max="4" width="8.1640625" bestFit="1" customWidth="1"/>
    <col min="5" max="8" width="7.6640625" bestFit="1" customWidth="1"/>
    <col min="10" max="10" width="14.5" bestFit="1" customWidth="1"/>
    <col min="11" max="11" width="6.1640625" bestFit="1" customWidth="1"/>
  </cols>
  <sheetData>
    <row r="2" spans="2:11" x14ac:dyDescent="0.2">
      <c r="B2" s="77" t="s">
        <v>71</v>
      </c>
      <c r="C2" s="77"/>
      <c r="D2" s="77"/>
      <c r="E2" s="77"/>
      <c r="F2" s="77"/>
    </row>
    <row r="3" spans="2:11" x14ac:dyDescent="0.2">
      <c r="B3" s="77"/>
      <c r="C3" s="77"/>
      <c r="D3" s="77"/>
      <c r="E3" s="77"/>
      <c r="F3" s="77"/>
    </row>
    <row r="4" spans="2:11" x14ac:dyDescent="0.2">
      <c r="B4" s="77"/>
      <c r="C4" s="77"/>
      <c r="D4" s="77"/>
      <c r="E4" s="77"/>
      <c r="F4" s="77"/>
    </row>
    <row r="5" spans="2:11" x14ac:dyDescent="0.2">
      <c r="B5" s="54" t="s">
        <v>72</v>
      </c>
      <c r="C5" s="54"/>
      <c r="D5" s="54"/>
      <c r="E5" s="54"/>
      <c r="F5" s="54"/>
    </row>
    <row r="6" spans="2:11" x14ac:dyDescent="0.2">
      <c r="B6" s="54"/>
      <c r="C6" s="54"/>
      <c r="D6" s="54"/>
      <c r="E6" s="54"/>
      <c r="F6" s="54"/>
    </row>
    <row r="8" spans="2:11" x14ac:dyDescent="0.2">
      <c r="B8" s="7"/>
      <c r="C8" s="7"/>
      <c r="D8" s="69" t="s">
        <v>45</v>
      </c>
      <c r="E8" s="69"/>
      <c r="F8" s="69"/>
      <c r="G8" s="69"/>
      <c r="H8" s="69"/>
    </row>
    <row r="9" spans="2:11" x14ac:dyDescent="0.2">
      <c r="B9" s="7"/>
      <c r="C9" s="52">
        <f>155.36*(1+K11)/(K10-K11)</f>
        <v>2895.3454545454547</v>
      </c>
      <c r="D9" s="37">
        <v>1.4999999999999999E-2</v>
      </c>
      <c r="E9" s="37">
        <v>0.02</v>
      </c>
      <c r="F9" s="43">
        <v>2.5000000000000001E-2</v>
      </c>
      <c r="G9" s="37">
        <v>0.03</v>
      </c>
      <c r="H9" s="37">
        <v>3.5000000000000003E-2</v>
      </c>
      <c r="J9" s="68" t="s">
        <v>57</v>
      </c>
      <c r="K9" s="68"/>
    </row>
    <row r="10" spans="2:11" x14ac:dyDescent="0.2">
      <c r="B10" s="70" t="s">
        <v>7</v>
      </c>
      <c r="C10" s="37">
        <v>7.0000000000000007E-2</v>
      </c>
      <c r="D10" s="7">
        <v>2867.1</v>
      </c>
      <c r="E10" s="38">
        <v>3169.34</v>
      </c>
      <c r="F10" s="38">
        <v>3538.76</v>
      </c>
      <c r="G10" s="38">
        <v>4000.52</v>
      </c>
      <c r="H10" s="38">
        <v>4594.22</v>
      </c>
      <c r="J10" s="40" t="s">
        <v>7</v>
      </c>
      <c r="K10" s="41">
        <v>0.08</v>
      </c>
    </row>
    <row r="11" spans="2:11" ht="17" thickBot="1" x14ac:dyDescent="0.25">
      <c r="B11" s="70"/>
      <c r="C11" s="37">
        <v>7.4999999999999997E-2</v>
      </c>
      <c r="D11" s="7">
        <v>2628.17</v>
      </c>
      <c r="E11" s="38">
        <v>2881.22</v>
      </c>
      <c r="F11" s="38">
        <v>3184.88</v>
      </c>
      <c r="G11" s="38">
        <v>3556.02</v>
      </c>
      <c r="H11" s="38">
        <v>4019.94</v>
      </c>
      <c r="J11" s="42" t="s">
        <v>45</v>
      </c>
      <c r="K11" s="21">
        <v>2.5000000000000001E-2</v>
      </c>
    </row>
    <row r="12" spans="2:11" ht="17" thickBot="1" x14ac:dyDescent="0.25">
      <c r="B12" s="70"/>
      <c r="C12" s="43">
        <v>0.08</v>
      </c>
      <c r="D12" s="7">
        <v>2426.0100000000002</v>
      </c>
      <c r="E12" s="38">
        <v>2641.12</v>
      </c>
      <c r="F12" s="39">
        <v>2895.35</v>
      </c>
      <c r="G12" s="38">
        <v>3200.42</v>
      </c>
      <c r="H12" s="38">
        <v>3573.28</v>
      </c>
    </row>
    <row r="13" spans="2:11" x14ac:dyDescent="0.2">
      <c r="B13" s="70"/>
      <c r="C13" s="37">
        <v>8.5000000000000006E-2</v>
      </c>
      <c r="D13" s="7">
        <v>2252.7199999999998</v>
      </c>
      <c r="E13" s="38">
        <v>2437.96</v>
      </c>
      <c r="F13" s="38">
        <v>2654.07</v>
      </c>
      <c r="G13" s="38">
        <v>2909.47</v>
      </c>
      <c r="H13" s="38">
        <v>3215.95</v>
      </c>
    </row>
    <row r="14" spans="2:11" x14ac:dyDescent="0.2">
      <c r="B14" s="70"/>
      <c r="C14" s="37">
        <v>0.09</v>
      </c>
      <c r="D14" s="7">
        <v>2102.54</v>
      </c>
      <c r="E14" s="38">
        <v>2263.8200000000002</v>
      </c>
      <c r="F14" s="38">
        <v>2449.91</v>
      </c>
      <c r="G14" s="38">
        <v>2667.01</v>
      </c>
      <c r="H14" s="38">
        <v>2923.59</v>
      </c>
    </row>
    <row r="16" spans="2:11" x14ac:dyDescent="0.2">
      <c r="B16" s="66" t="s">
        <v>59</v>
      </c>
      <c r="C16" s="76"/>
      <c r="D16" s="76"/>
      <c r="E16" s="76"/>
      <c r="F16" s="76"/>
      <c r="G16" s="67"/>
    </row>
    <row r="17" spans="2:7" x14ac:dyDescent="0.2">
      <c r="B17" s="71" t="s">
        <v>58</v>
      </c>
      <c r="C17" s="60"/>
      <c r="D17" s="60"/>
      <c r="E17" s="60"/>
      <c r="F17" s="60"/>
      <c r="G17" s="72"/>
    </row>
    <row r="18" spans="2:7" x14ac:dyDescent="0.2">
      <c r="B18" s="71"/>
      <c r="C18" s="60"/>
      <c r="D18" s="60"/>
      <c r="E18" s="60"/>
      <c r="F18" s="60"/>
      <c r="G18" s="72"/>
    </row>
    <row r="19" spans="2:7" x14ac:dyDescent="0.2">
      <c r="B19" s="73"/>
      <c r="C19" s="74"/>
      <c r="D19" s="74"/>
      <c r="E19" s="74"/>
      <c r="F19" s="74"/>
      <c r="G19" s="75"/>
    </row>
  </sheetData>
  <mergeCells count="7">
    <mergeCell ref="B2:F4"/>
    <mergeCell ref="B5:F6"/>
    <mergeCell ref="J9:K9"/>
    <mergeCell ref="D8:H8"/>
    <mergeCell ref="B10:B14"/>
    <mergeCell ref="B17:G19"/>
    <mergeCell ref="B16:G16"/>
  </mergeCells>
  <conditionalFormatting sqref="D10:H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Forecasts</vt:lpstr>
      <vt:lpstr>Valuations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Colby, Jack Timothy</dc:creator>
  <cp:lastModifiedBy>Colby, Jack Timothy</cp:lastModifiedBy>
  <dcterms:created xsi:type="dcterms:W3CDTF">2026-06-28T17:44:03Z</dcterms:created>
  <dcterms:modified xsi:type="dcterms:W3CDTF">2026-06-30T18:10:55Z</dcterms:modified>
</cp:coreProperties>
</file>